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Hoja1" sheetId="1" r:id="rId1"/>
    <sheet name="Hoja2" sheetId="2" r:id="rId2"/>
    <sheet name="Hoja3" sheetId="3" r:id="rId3"/>
  </sheets>
  <calcPr calcId="124519"/>
</workbook>
</file>

<file path=xl/calcChain.xml><?xml version="1.0" encoding="utf-8"?>
<calcChain xmlns="http://schemas.openxmlformats.org/spreadsheetml/2006/main">
  <c r="AG27" i="1"/>
  <c r="AE27"/>
  <c r="AC26"/>
  <c r="AE24"/>
  <c r="AC23"/>
  <c r="AD21"/>
</calcChain>
</file>

<file path=xl/sharedStrings.xml><?xml version="1.0" encoding="utf-8"?>
<sst xmlns="http://schemas.openxmlformats.org/spreadsheetml/2006/main" count="148" uniqueCount="49">
  <si>
    <t>ANOMALIA BELADY</t>
  </si>
  <si>
    <t>paginas</t>
  </si>
  <si>
    <t>FRAME  1</t>
  </si>
  <si>
    <t>FRAME  2</t>
  </si>
  <si>
    <t>FRAME  3</t>
  </si>
  <si>
    <t>fallo pag</t>
  </si>
  <si>
    <t>X</t>
  </si>
  <si>
    <t>9 FP</t>
  </si>
  <si>
    <t>FRAME  4</t>
  </si>
  <si>
    <t>10FP</t>
  </si>
  <si>
    <t>ALGORITMO FIFO</t>
  </si>
  <si>
    <t>15FP</t>
  </si>
  <si>
    <t>ALGORITMO OPTIMO</t>
  </si>
  <si>
    <t>9FP</t>
  </si>
  <si>
    <t>ALGORITMO LRU (menos recientemente usado)</t>
  </si>
  <si>
    <t>PILA  tope</t>
  </si>
  <si>
    <t xml:space="preserve">PILA </t>
  </si>
  <si>
    <t>PILA fondo</t>
  </si>
  <si>
    <t>ALGORITMO DE 2DA OPORTUNIDAD</t>
  </si>
  <si>
    <t>init</t>
  </si>
  <si>
    <t>/</t>
  </si>
  <si>
    <t>BIT F 1</t>
  </si>
  <si>
    <t>BIT F 2</t>
  </si>
  <si>
    <t>BIT F 3</t>
  </si>
  <si>
    <t>BIT F 4</t>
  </si>
  <si>
    <t>Fallo pag</t>
  </si>
  <si>
    <t>F selecionado</t>
  </si>
  <si>
    <t>Puntero a F</t>
  </si>
  <si>
    <t>EJERCICIO 1:</t>
  </si>
  <si>
    <t>Un sistema de multiprogramacion dipone de 24 Mbytes de RAM, de los cuales el Sistema Operativo y sus librerias ocupan 5 Mbytes.  Supongamos que en memoria virtual se hace una asignacion equitativa y a cada proceso se le asignan 15 frames.  Todos los procesos son del mismo tamaño y ocupan cada uno 2,4 Mbytes. Tamaño del frame 128 Kbyte.</t>
  </si>
  <si>
    <t>PREGUNTAS:</t>
  </si>
  <si>
    <t>Considerando tres formas de administracion de memoria,  PARTICIONES MULTIPLES VARIABLES, PAGINACION SIMPLE y PAGINACION POR DEMANDA.  Determinar para cada una de ellas lo siguiente:</t>
  </si>
  <si>
    <t>1. Cantidad de procesos que caben en la memoria principal</t>
  </si>
  <si>
    <t>2.  Tipo y tamaño de fragmentacion</t>
  </si>
  <si>
    <t>PMV</t>
  </si>
  <si>
    <t>PROCESOS</t>
  </si>
  <si>
    <t>FE</t>
  </si>
  <si>
    <t>PAGINACION</t>
  </si>
  <si>
    <t>KBYTE PROCESO</t>
  </si>
  <si>
    <t>KBYTE</t>
  </si>
  <si>
    <t>PAGINAS CADA PROCESO</t>
  </si>
  <si>
    <t>FI</t>
  </si>
  <si>
    <t>KBYTE MP</t>
  </si>
  <si>
    <t>FRAMES</t>
  </si>
  <si>
    <t>7 PROCESOS</t>
  </si>
  <si>
    <t>12 FRAMES</t>
  </si>
  <si>
    <t>MV</t>
  </si>
  <si>
    <t>10 PROCESOS</t>
  </si>
  <si>
    <t>2 FRAMES LIBRES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</si>
</sst>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2" xfId="0" applyBorder="1" applyAlignment="1">
      <alignment horizontal="center" vertical="center"/>
    </xf>
    <xf numFmtId="0" fontId="1" fillId="0" borderId="3" xfId="0" applyFont="1" applyBorder="1"/>
    <xf numFmtId="0" fontId="0" fillId="0" borderId="3" xfId="0" applyBorder="1" applyAlignment="1">
      <alignment horizontal="center" vertical="center"/>
    </xf>
    <xf numFmtId="0" fontId="2" fillId="0" borderId="0" xfId="0" applyFont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4" xfId="0" applyBorder="1"/>
    <xf numFmtId="0" fontId="1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0" xfId="0" applyBorder="1"/>
    <xf numFmtId="0" fontId="1" fillId="0" borderId="7" xfId="0" applyFont="1" applyBorder="1"/>
    <xf numFmtId="0" fontId="0" fillId="0" borderId="8" xfId="0" applyBorder="1" applyAlignment="1">
      <alignment horizontal="center" vertical="center"/>
    </xf>
    <xf numFmtId="0" fontId="1" fillId="0" borderId="9" xfId="0" applyFont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4:AI72"/>
  <sheetViews>
    <sheetView tabSelected="1" workbookViewId="0">
      <selection activeCell="AH34" sqref="AH34"/>
    </sheetView>
  </sheetViews>
  <sheetFormatPr baseColWidth="10" defaultRowHeight="15"/>
  <cols>
    <col min="1" max="1" width="5.140625" customWidth="1"/>
    <col min="2" max="2" width="7" customWidth="1"/>
    <col min="4" max="26" width="6.7109375" customWidth="1"/>
  </cols>
  <sheetData>
    <row r="4" spans="3:35">
      <c r="E4" s="1" t="s">
        <v>0</v>
      </c>
    </row>
    <row r="5" spans="3:35" ht="15.75">
      <c r="AA5" s="25" t="s">
        <v>28</v>
      </c>
      <c r="AB5" s="26"/>
      <c r="AC5" s="26"/>
      <c r="AD5" s="26"/>
      <c r="AE5" s="26"/>
      <c r="AF5" s="26"/>
      <c r="AG5" s="26"/>
      <c r="AH5" s="26"/>
      <c r="AI5" s="26"/>
    </row>
    <row r="6" spans="3:35">
      <c r="AA6" s="27" t="s">
        <v>29</v>
      </c>
      <c r="AB6" s="27"/>
      <c r="AC6" s="27"/>
      <c r="AD6" s="27"/>
      <c r="AE6" s="27"/>
      <c r="AF6" s="27"/>
      <c r="AG6" s="27"/>
      <c r="AH6" s="27"/>
      <c r="AI6" s="27"/>
    </row>
    <row r="7" spans="3:35">
      <c r="C7" s="2" t="s">
        <v>1</v>
      </c>
      <c r="D7" s="3">
        <v>3</v>
      </c>
      <c r="E7" s="3">
        <v>2</v>
      </c>
      <c r="F7" s="3">
        <v>1</v>
      </c>
      <c r="G7" s="3">
        <v>0</v>
      </c>
      <c r="H7" s="3">
        <v>3</v>
      </c>
      <c r="I7" s="3">
        <v>2</v>
      </c>
      <c r="J7" s="3">
        <v>4</v>
      </c>
      <c r="K7" s="3">
        <v>3</v>
      </c>
      <c r="L7" s="3">
        <v>2</v>
      </c>
      <c r="M7" s="3">
        <v>1</v>
      </c>
      <c r="N7" s="3">
        <v>0</v>
      </c>
      <c r="O7" s="4">
        <v>4</v>
      </c>
      <c r="AA7" s="27"/>
      <c r="AB7" s="27"/>
      <c r="AC7" s="27"/>
      <c r="AD7" s="27"/>
      <c r="AE7" s="27"/>
      <c r="AF7" s="27"/>
      <c r="AG7" s="27"/>
      <c r="AH7" s="27"/>
      <c r="AI7" s="27"/>
    </row>
    <row r="8" spans="3:35">
      <c r="C8" s="2" t="s">
        <v>2</v>
      </c>
      <c r="D8" s="5">
        <v>3</v>
      </c>
      <c r="E8" s="5">
        <v>3</v>
      </c>
      <c r="F8" s="5">
        <v>3</v>
      </c>
      <c r="G8" s="5">
        <v>0</v>
      </c>
      <c r="H8" s="5">
        <v>0</v>
      </c>
      <c r="I8" s="5">
        <v>0</v>
      </c>
      <c r="J8" s="5">
        <v>4</v>
      </c>
      <c r="K8" s="5">
        <v>4</v>
      </c>
      <c r="L8" s="5">
        <v>4</v>
      </c>
      <c r="M8" s="5">
        <v>4</v>
      </c>
      <c r="N8" s="5">
        <v>4</v>
      </c>
      <c r="O8" s="5">
        <v>4</v>
      </c>
      <c r="AA8" s="27"/>
      <c r="AB8" s="27"/>
      <c r="AC8" s="27"/>
      <c r="AD8" s="27"/>
      <c r="AE8" s="27"/>
      <c r="AF8" s="27"/>
      <c r="AG8" s="27"/>
      <c r="AH8" s="27"/>
      <c r="AI8" s="27"/>
    </row>
    <row r="9" spans="3:35">
      <c r="C9" s="2" t="s">
        <v>3</v>
      </c>
      <c r="D9" s="5"/>
      <c r="E9" s="5">
        <v>2</v>
      </c>
      <c r="F9" s="5">
        <v>2</v>
      </c>
      <c r="G9" s="5">
        <v>2</v>
      </c>
      <c r="H9" s="5">
        <v>3</v>
      </c>
      <c r="I9" s="5">
        <v>3</v>
      </c>
      <c r="J9" s="5">
        <v>3</v>
      </c>
      <c r="K9" s="5">
        <v>3</v>
      </c>
      <c r="L9" s="5">
        <v>3</v>
      </c>
      <c r="M9" s="5">
        <v>1</v>
      </c>
      <c r="N9" s="5">
        <v>1</v>
      </c>
      <c r="O9" s="5">
        <v>1</v>
      </c>
      <c r="AA9" s="27"/>
      <c r="AB9" s="27"/>
      <c r="AC9" s="27"/>
      <c r="AD9" s="27"/>
      <c r="AE9" s="27"/>
      <c r="AF9" s="27"/>
      <c r="AG9" s="27"/>
      <c r="AH9" s="27"/>
      <c r="AI9" s="27"/>
    </row>
    <row r="10" spans="3:35" ht="15.75" thickBot="1">
      <c r="C10" s="6" t="s">
        <v>4</v>
      </c>
      <c r="D10" s="7"/>
      <c r="E10" s="7"/>
      <c r="F10" s="7">
        <v>1</v>
      </c>
      <c r="G10" s="7">
        <v>1</v>
      </c>
      <c r="H10" s="7">
        <v>1</v>
      </c>
      <c r="I10" s="7">
        <v>2</v>
      </c>
      <c r="J10" s="7">
        <v>2</v>
      </c>
      <c r="K10" s="7">
        <v>2</v>
      </c>
      <c r="L10" s="7">
        <v>2</v>
      </c>
      <c r="M10" s="7">
        <v>2</v>
      </c>
      <c r="N10" s="7">
        <v>0</v>
      </c>
      <c r="O10" s="7">
        <v>0</v>
      </c>
      <c r="AA10" s="27"/>
      <c r="AB10" s="27"/>
      <c r="AC10" s="27"/>
      <c r="AD10" s="27"/>
      <c r="AE10" s="27"/>
      <c r="AF10" s="27"/>
      <c r="AG10" s="27"/>
      <c r="AH10" s="27"/>
      <c r="AI10" s="27"/>
    </row>
    <row r="11" spans="3:35" ht="16.5" thickTop="1">
      <c r="C11" s="8" t="s">
        <v>5</v>
      </c>
      <c r="D11" s="9" t="s">
        <v>6</v>
      </c>
      <c r="E11" s="9" t="s">
        <v>6</v>
      </c>
      <c r="F11" s="9" t="s">
        <v>6</v>
      </c>
      <c r="G11" s="9" t="s">
        <v>6</v>
      </c>
      <c r="H11" s="9" t="s">
        <v>6</v>
      </c>
      <c r="I11" s="9" t="s">
        <v>6</v>
      </c>
      <c r="J11" s="9" t="s">
        <v>6</v>
      </c>
      <c r="K11" s="9"/>
      <c r="L11" s="9"/>
      <c r="M11" s="9" t="s">
        <v>6</v>
      </c>
      <c r="N11" s="9" t="s">
        <v>6</v>
      </c>
      <c r="O11" s="9"/>
      <c r="AA11" s="25" t="s">
        <v>30</v>
      </c>
    </row>
    <row r="12" spans="3:35">
      <c r="P12" t="s">
        <v>7</v>
      </c>
      <c r="AA12" s="27" t="s">
        <v>31</v>
      </c>
      <c r="AB12" s="27"/>
      <c r="AC12" s="27"/>
      <c r="AD12" s="27"/>
      <c r="AE12" s="27"/>
      <c r="AF12" s="27"/>
      <c r="AG12" s="27"/>
      <c r="AH12" s="27"/>
      <c r="AI12" s="27"/>
    </row>
    <row r="13" spans="3:35">
      <c r="AA13" s="27"/>
      <c r="AB13" s="27"/>
      <c r="AC13" s="27"/>
      <c r="AD13" s="27"/>
      <c r="AE13" s="27"/>
      <c r="AF13" s="27"/>
      <c r="AG13" s="27"/>
      <c r="AH13" s="27"/>
      <c r="AI13" s="27"/>
    </row>
    <row r="14" spans="3:35">
      <c r="C14" s="2" t="s">
        <v>1</v>
      </c>
      <c r="D14" s="3">
        <v>3</v>
      </c>
      <c r="E14" s="3">
        <v>2</v>
      </c>
      <c r="F14" s="3">
        <v>1</v>
      </c>
      <c r="G14" s="3">
        <v>0</v>
      </c>
      <c r="H14" s="3">
        <v>3</v>
      </c>
      <c r="I14" s="3">
        <v>2</v>
      </c>
      <c r="J14" s="3">
        <v>4</v>
      </c>
      <c r="K14" s="3">
        <v>3</v>
      </c>
      <c r="L14" s="3">
        <v>2</v>
      </c>
      <c r="M14" s="3">
        <v>1</v>
      </c>
      <c r="N14" s="3">
        <v>0</v>
      </c>
      <c r="O14" s="4">
        <v>4</v>
      </c>
      <c r="AA14" s="27"/>
      <c r="AB14" s="27"/>
      <c r="AC14" s="27"/>
      <c r="AD14" s="27"/>
      <c r="AE14" s="27"/>
      <c r="AF14" s="27"/>
      <c r="AG14" s="27"/>
      <c r="AH14" s="27"/>
      <c r="AI14" s="27"/>
    </row>
    <row r="15" spans="3:35">
      <c r="C15" s="2" t="s">
        <v>2</v>
      </c>
      <c r="D15" s="5">
        <v>3</v>
      </c>
      <c r="E15" s="5">
        <v>3</v>
      </c>
      <c r="F15" s="5">
        <v>3</v>
      </c>
      <c r="G15" s="5">
        <v>3</v>
      </c>
      <c r="H15" s="5">
        <v>3</v>
      </c>
      <c r="I15" s="5">
        <v>3</v>
      </c>
      <c r="J15" s="5">
        <v>4</v>
      </c>
      <c r="K15" s="5">
        <v>4</v>
      </c>
      <c r="L15" s="5">
        <v>4</v>
      </c>
      <c r="M15" s="5">
        <v>4</v>
      </c>
      <c r="N15" s="5">
        <v>0</v>
      </c>
      <c r="O15" s="5">
        <v>0</v>
      </c>
      <c r="AA15" s="27"/>
      <c r="AB15" s="27"/>
      <c r="AC15" s="27"/>
      <c r="AD15" s="27"/>
      <c r="AE15" s="27"/>
      <c r="AF15" s="27"/>
      <c r="AG15" s="27"/>
      <c r="AH15" s="27"/>
      <c r="AI15" s="27"/>
    </row>
    <row r="16" spans="3:35">
      <c r="C16" s="2" t="s">
        <v>3</v>
      </c>
      <c r="D16" s="5"/>
      <c r="E16" s="5">
        <v>2</v>
      </c>
      <c r="F16" s="5">
        <v>2</v>
      </c>
      <c r="G16" s="5">
        <v>2</v>
      </c>
      <c r="H16" s="5">
        <v>2</v>
      </c>
      <c r="I16" s="5">
        <v>2</v>
      </c>
      <c r="J16" s="5">
        <v>2</v>
      </c>
      <c r="K16" s="5">
        <v>3</v>
      </c>
      <c r="L16" s="5">
        <v>3</v>
      </c>
      <c r="M16" s="5">
        <v>3</v>
      </c>
      <c r="N16" s="5">
        <v>3</v>
      </c>
      <c r="O16" s="5">
        <v>4</v>
      </c>
      <c r="AA16" s="27"/>
      <c r="AB16" s="27"/>
      <c r="AC16" s="27"/>
      <c r="AD16" s="27"/>
      <c r="AE16" s="27"/>
      <c r="AF16" s="27"/>
      <c r="AG16" s="27"/>
      <c r="AH16" s="27"/>
      <c r="AI16" s="27"/>
    </row>
    <row r="17" spans="3:35">
      <c r="C17" s="2" t="s">
        <v>4</v>
      </c>
      <c r="D17" s="5"/>
      <c r="E17" s="5"/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2</v>
      </c>
      <c r="M17" s="5">
        <v>2</v>
      </c>
      <c r="N17" s="5">
        <v>2</v>
      </c>
      <c r="O17" s="5">
        <v>2</v>
      </c>
      <c r="AA17" s="27"/>
      <c r="AB17" s="27"/>
      <c r="AC17" s="27"/>
      <c r="AD17" s="27"/>
      <c r="AE17" s="27"/>
      <c r="AF17" s="27"/>
      <c r="AG17" s="27"/>
      <c r="AH17" s="27"/>
      <c r="AI17" s="27"/>
    </row>
    <row r="18" spans="3:35" ht="16.5" thickBot="1">
      <c r="C18" s="6" t="s">
        <v>8</v>
      </c>
      <c r="D18" s="7"/>
      <c r="E18" s="7"/>
      <c r="F18" s="7"/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1</v>
      </c>
      <c r="N18" s="7">
        <v>1</v>
      </c>
      <c r="O18" s="7">
        <v>1</v>
      </c>
      <c r="AA18" s="26" t="s">
        <v>32</v>
      </c>
      <c r="AB18" s="26"/>
      <c r="AC18" s="26"/>
      <c r="AD18" s="26"/>
      <c r="AE18" s="26"/>
    </row>
    <row r="19" spans="3:35" ht="16.5" thickTop="1">
      <c r="C19" s="8" t="s">
        <v>5</v>
      </c>
      <c r="D19" s="9" t="s">
        <v>6</v>
      </c>
      <c r="E19" s="9" t="s">
        <v>6</v>
      </c>
      <c r="F19" s="9" t="s">
        <v>6</v>
      </c>
      <c r="G19" s="9" t="s">
        <v>6</v>
      </c>
      <c r="H19" s="9"/>
      <c r="I19" s="9"/>
      <c r="J19" s="9" t="s">
        <v>6</v>
      </c>
      <c r="K19" s="9" t="s">
        <v>6</v>
      </c>
      <c r="L19" s="9" t="s">
        <v>6</v>
      </c>
      <c r="M19" s="9" t="s">
        <v>6</v>
      </c>
      <c r="N19" s="9" t="s">
        <v>6</v>
      </c>
      <c r="O19" s="9" t="s">
        <v>6</v>
      </c>
      <c r="AA19" s="26" t="s">
        <v>33</v>
      </c>
      <c r="AB19" s="26"/>
      <c r="AC19" s="26"/>
      <c r="AD19" s="26"/>
      <c r="AE19" s="26"/>
    </row>
    <row r="20" spans="3:35">
      <c r="P20" t="s">
        <v>9</v>
      </c>
    </row>
    <row r="21" spans="3:35">
      <c r="AA21" s="28" t="s">
        <v>34</v>
      </c>
      <c r="AB21">
        <v>19</v>
      </c>
      <c r="AC21">
        <v>2.4</v>
      </c>
      <c r="AD21">
        <f>19/2.4</f>
        <v>7.916666666666667</v>
      </c>
      <c r="AF21" s="29">
        <v>7</v>
      </c>
      <c r="AG21" s="29" t="s">
        <v>35</v>
      </c>
    </row>
    <row r="22" spans="3:35">
      <c r="AF22" s="29">
        <v>2.1800000000000002</v>
      </c>
      <c r="AG22" s="29" t="s">
        <v>36</v>
      </c>
    </row>
    <row r="23" spans="3:35">
      <c r="F23" s="10" t="s">
        <v>10</v>
      </c>
      <c r="G23" s="10"/>
      <c r="H23" s="10"/>
      <c r="I23" s="10"/>
      <c r="AA23" s="28" t="s">
        <v>37</v>
      </c>
      <c r="AC23">
        <f>2.4*1024</f>
        <v>2457.6</v>
      </c>
      <c r="AD23" t="s">
        <v>38</v>
      </c>
    </row>
    <row r="24" spans="3:35">
      <c r="AC24">
        <v>128</v>
      </c>
      <c r="AD24" t="s">
        <v>39</v>
      </c>
      <c r="AE24">
        <f>2457.6/128</f>
        <v>19.2</v>
      </c>
      <c r="AF24" t="s">
        <v>40</v>
      </c>
      <c r="AH24" s="30">
        <v>20</v>
      </c>
    </row>
    <row r="25" spans="3:35">
      <c r="C25" s="2" t="s">
        <v>1</v>
      </c>
      <c r="D25" s="3">
        <v>7</v>
      </c>
      <c r="E25" s="3">
        <v>0</v>
      </c>
      <c r="F25" s="3">
        <v>1</v>
      </c>
      <c r="G25" s="3">
        <v>2</v>
      </c>
      <c r="H25" s="3">
        <v>0</v>
      </c>
      <c r="I25" s="3">
        <v>3</v>
      </c>
      <c r="J25" s="3">
        <v>0</v>
      </c>
      <c r="K25" s="3">
        <v>4</v>
      </c>
      <c r="L25" s="3">
        <v>2</v>
      </c>
      <c r="M25" s="3">
        <v>3</v>
      </c>
      <c r="N25" s="3">
        <v>0</v>
      </c>
      <c r="O25" s="4">
        <v>3</v>
      </c>
      <c r="P25" s="3">
        <v>2</v>
      </c>
      <c r="Q25" s="3">
        <v>1</v>
      </c>
      <c r="R25" s="3">
        <v>2</v>
      </c>
      <c r="S25" s="3">
        <v>0</v>
      </c>
      <c r="T25" s="3">
        <v>1</v>
      </c>
      <c r="U25" s="3">
        <v>7</v>
      </c>
      <c r="V25" s="3">
        <v>0</v>
      </c>
      <c r="W25" s="3">
        <v>1</v>
      </c>
      <c r="X25" s="11"/>
      <c r="Y25" s="11"/>
      <c r="Z25" s="11"/>
      <c r="AG25" s="28" t="s">
        <v>41</v>
      </c>
      <c r="AH25" s="28">
        <v>102.4</v>
      </c>
    </row>
    <row r="26" spans="3:35">
      <c r="C26" s="2" t="s">
        <v>2</v>
      </c>
      <c r="D26" s="5">
        <v>7</v>
      </c>
      <c r="E26" s="5">
        <v>7</v>
      </c>
      <c r="F26" s="5">
        <v>7</v>
      </c>
      <c r="G26" s="5">
        <v>2</v>
      </c>
      <c r="H26" s="5">
        <v>2</v>
      </c>
      <c r="I26" s="5">
        <v>2</v>
      </c>
      <c r="J26" s="5">
        <v>2</v>
      </c>
      <c r="K26" s="5">
        <v>4</v>
      </c>
      <c r="L26" s="5">
        <v>4</v>
      </c>
      <c r="M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7</v>
      </c>
      <c r="V26" s="5">
        <v>7</v>
      </c>
      <c r="W26" s="5">
        <v>7</v>
      </c>
      <c r="X26" s="12"/>
      <c r="Y26" s="12"/>
      <c r="Z26" s="12"/>
      <c r="AC26">
        <f>19*1024</f>
        <v>19456</v>
      </c>
      <c r="AD26" t="s">
        <v>42</v>
      </c>
    </row>
    <row r="27" spans="3:35">
      <c r="C27" s="2" t="s">
        <v>3</v>
      </c>
      <c r="D27" s="5"/>
      <c r="E27" s="5">
        <v>0</v>
      </c>
      <c r="F27" s="5">
        <v>0</v>
      </c>
      <c r="G27" s="5">
        <v>0</v>
      </c>
      <c r="H27" s="5">
        <v>0</v>
      </c>
      <c r="I27" s="5">
        <v>3</v>
      </c>
      <c r="J27" s="5">
        <v>3</v>
      </c>
      <c r="K27" s="5">
        <v>3</v>
      </c>
      <c r="L27" s="5">
        <v>2</v>
      </c>
      <c r="M27" s="5">
        <v>2</v>
      </c>
      <c r="N27" s="5">
        <v>2</v>
      </c>
      <c r="O27" s="5">
        <v>2</v>
      </c>
      <c r="P27" s="5">
        <v>2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0</v>
      </c>
      <c r="W27" s="5">
        <v>0</v>
      </c>
      <c r="X27" s="12"/>
      <c r="Y27" s="12"/>
      <c r="Z27" s="12"/>
      <c r="AE27" s="30">
        <f>19456/128</f>
        <v>152</v>
      </c>
      <c r="AF27" t="s">
        <v>43</v>
      </c>
      <c r="AG27">
        <f>152/20</f>
        <v>7.6</v>
      </c>
      <c r="AH27" s="28" t="s">
        <v>44</v>
      </c>
    </row>
    <row r="28" spans="3:35" ht="15.75" thickBot="1">
      <c r="C28" s="6" t="s">
        <v>4</v>
      </c>
      <c r="D28" s="7"/>
      <c r="E28" s="7"/>
      <c r="F28" s="7">
        <v>1</v>
      </c>
      <c r="G28" s="7">
        <v>1</v>
      </c>
      <c r="H28" s="7">
        <v>1</v>
      </c>
      <c r="I28" s="7">
        <v>1</v>
      </c>
      <c r="J28" s="7">
        <v>0</v>
      </c>
      <c r="K28" s="7">
        <v>0</v>
      </c>
      <c r="L28" s="7">
        <v>0</v>
      </c>
      <c r="M28" s="7">
        <v>3</v>
      </c>
      <c r="N28" s="7">
        <v>3</v>
      </c>
      <c r="O28" s="7">
        <v>3</v>
      </c>
      <c r="P28" s="7">
        <v>3</v>
      </c>
      <c r="Q28" s="7">
        <v>3</v>
      </c>
      <c r="R28" s="7">
        <v>2</v>
      </c>
      <c r="S28" s="7">
        <v>2</v>
      </c>
      <c r="T28" s="7">
        <v>2</v>
      </c>
      <c r="U28" s="7">
        <v>2</v>
      </c>
      <c r="V28" s="7">
        <v>2</v>
      </c>
      <c r="W28" s="7">
        <v>1</v>
      </c>
      <c r="X28" s="12"/>
      <c r="Y28" s="12"/>
      <c r="Z28" s="12"/>
      <c r="AE28" s="30"/>
      <c r="AG28" s="28" t="s">
        <v>36</v>
      </c>
      <c r="AH28" s="28" t="s">
        <v>45</v>
      </c>
    </row>
    <row r="29" spans="3:35" ht="15.75" thickTop="1">
      <c r="C29" s="8" t="s">
        <v>5</v>
      </c>
      <c r="D29" s="9" t="s">
        <v>6</v>
      </c>
      <c r="E29" s="9" t="s">
        <v>6</v>
      </c>
      <c r="F29" s="9" t="s">
        <v>6</v>
      </c>
      <c r="G29" s="9" t="s">
        <v>6</v>
      </c>
      <c r="H29" s="9"/>
      <c r="I29" s="9" t="s">
        <v>6</v>
      </c>
      <c r="J29" s="9" t="s">
        <v>6</v>
      </c>
      <c r="K29" s="9" t="s">
        <v>6</v>
      </c>
      <c r="L29" s="9" t="s">
        <v>6</v>
      </c>
      <c r="M29" s="9" t="s">
        <v>6</v>
      </c>
      <c r="N29" s="9" t="s">
        <v>6</v>
      </c>
      <c r="O29" s="9"/>
      <c r="P29" s="9"/>
      <c r="Q29" s="9" t="s">
        <v>6</v>
      </c>
      <c r="R29" s="9" t="s">
        <v>6</v>
      </c>
      <c r="S29" s="9"/>
      <c r="T29" s="9"/>
      <c r="U29" s="9" t="s">
        <v>6</v>
      </c>
      <c r="V29" s="9" t="s">
        <v>6</v>
      </c>
      <c r="W29" s="9" t="s">
        <v>6</v>
      </c>
      <c r="X29" s="12"/>
      <c r="Y29" s="12"/>
      <c r="Z29" s="12"/>
      <c r="AA29" s="28" t="s">
        <v>46</v>
      </c>
      <c r="AD29" s="29" t="s">
        <v>47</v>
      </c>
      <c r="AE29" s="30"/>
    </row>
    <row r="30" spans="3:35">
      <c r="X30" t="s">
        <v>11</v>
      </c>
      <c r="AD30" s="29" t="s">
        <v>48</v>
      </c>
      <c r="AE30" s="29" t="s">
        <v>36</v>
      </c>
      <c r="AF30" s="29" t="s">
        <v>41</v>
      </c>
      <c r="AG30" s="29">
        <v>102.4</v>
      </c>
    </row>
    <row r="34" spans="3:24">
      <c r="F34" s="10" t="s">
        <v>12</v>
      </c>
      <c r="G34" s="10"/>
      <c r="H34" s="10"/>
      <c r="I34" s="10"/>
    </row>
    <row r="36" spans="3:24">
      <c r="C36" s="2" t="s">
        <v>1</v>
      </c>
      <c r="D36" s="3">
        <v>7</v>
      </c>
      <c r="E36" s="3">
        <v>0</v>
      </c>
      <c r="F36" s="3">
        <v>1</v>
      </c>
      <c r="G36" s="3">
        <v>2</v>
      </c>
      <c r="H36" s="3">
        <v>0</v>
      </c>
      <c r="I36" s="3">
        <v>3</v>
      </c>
      <c r="J36" s="3">
        <v>0</v>
      </c>
      <c r="K36" s="3">
        <v>4</v>
      </c>
      <c r="L36" s="3">
        <v>2</v>
      </c>
      <c r="M36" s="3">
        <v>3</v>
      </c>
      <c r="N36" s="3">
        <v>0</v>
      </c>
      <c r="O36" s="4">
        <v>3</v>
      </c>
      <c r="P36" s="3">
        <v>2</v>
      </c>
      <c r="Q36" s="3">
        <v>1</v>
      </c>
      <c r="R36" s="3">
        <v>2</v>
      </c>
      <c r="S36" s="3">
        <v>0</v>
      </c>
      <c r="T36" s="3">
        <v>1</v>
      </c>
      <c r="U36" s="3">
        <v>7</v>
      </c>
      <c r="V36" s="3">
        <v>0</v>
      </c>
      <c r="W36" s="3">
        <v>1</v>
      </c>
    </row>
    <row r="37" spans="3:24">
      <c r="C37" s="2" t="s">
        <v>2</v>
      </c>
      <c r="D37" s="5">
        <v>7</v>
      </c>
      <c r="E37" s="5">
        <v>7</v>
      </c>
      <c r="F37" s="5">
        <v>7</v>
      </c>
      <c r="G37" s="5">
        <v>2</v>
      </c>
      <c r="H37" s="5">
        <v>2</v>
      </c>
      <c r="I37" s="5">
        <v>2</v>
      </c>
      <c r="J37" s="5">
        <v>2</v>
      </c>
      <c r="K37" s="5">
        <v>2</v>
      </c>
      <c r="L37" s="5">
        <v>2</v>
      </c>
      <c r="M37" s="5">
        <v>2</v>
      </c>
      <c r="N37" s="5">
        <v>2</v>
      </c>
      <c r="O37" s="5">
        <v>2</v>
      </c>
      <c r="P37" s="5">
        <v>2</v>
      </c>
      <c r="Q37" s="5">
        <v>2</v>
      </c>
      <c r="R37" s="5">
        <v>2</v>
      </c>
      <c r="S37" s="5">
        <v>2</v>
      </c>
      <c r="T37" s="5">
        <v>2</v>
      </c>
      <c r="U37" s="5">
        <v>7</v>
      </c>
      <c r="V37" s="5">
        <v>7</v>
      </c>
      <c r="W37" s="5">
        <v>7</v>
      </c>
    </row>
    <row r="38" spans="3:24">
      <c r="C38" s="2" t="s">
        <v>3</v>
      </c>
      <c r="D38" s="5"/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4</v>
      </c>
      <c r="L38" s="5">
        <v>4</v>
      </c>
      <c r="M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3:24" ht="15.75" thickBot="1">
      <c r="C39" s="6" t="s">
        <v>4</v>
      </c>
      <c r="D39" s="7"/>
      <c r="E39" s="7"/>
      <c r="F39" s="7">
        <v>1</v>
      </c>
      <c r="G39" s="7">
        <v>1</v>
      </c>
      <c r="H39" s="7">
        <v>1</v>
      </c>
      <c r="I39" s="7">
        <v>3</v>
      </c>
      <c r="J39" s="7">
        <v>3</v>
      </c>
      <c r="K39" s="7">
        <v>3</v>
      </c>
      <c r="L39" s="7">
        <v>3</v>
      </c>
      <c r="M39" s="7">
        <v>3</v>
      </c>
      <c r="N39" s="7">
        <v>3</v>
      </c>
      <c r="O39" s="7">
        <v>3</v>
      </c>
      <c r="P39" s="7">
        <v>3</v>
      </c>
      <c r="Q39" s="7">
        <v>1</v>
      </c>
      <c r="R39" s="7">
        <v>1</v>
      </c>
      <c r="S39" s="7">
        <v>1</v>
      </c>
      <c r="T39" s="7">
        <v>1</v>
      </c>
      <c r="U39" s="7">
        <v>1</v>
      </c>
      <c r="V39" s="7">
        <v>1</v>
      </c>
      <c r="W39" s="7">
        <v>1</v>
      </c>
    </row>
    <row r="40" spans="3:24" ht="15.75" thickTop="1">
      <c r="C40" s="8" t="s">
        <v>5</v>
      </c>
      <c r="D40" s="9" t="s">
        <v>6</v>
      </c>
      <c r="E40" s="9" t="s">
        <v>6</v>
      </c>
      <c r="F40" s="9" t="s">
        <v>6</v>
      </c>
      <c r="G40" s="9" t="s">
        <v>6</v>
      </c>
      <c r="H40" s="9"/>
      <c r="I40" s="9" t="s">
        <v>6</v>
      </c>
      <c r="J40" s="9"/>
      <c r="K40" s="9" t="s">
        <v>6</v>
      </c>
      <c r="L40" s="9"/>
      <c r="M40" s="9"/>
      <c r="N40" s="9" t="s">
        <v>6</v>
      </c>
      <c r="O40" s="9"/>
      <c r="P40" s="9"/>
      <c r="Q40" s="9" t="s">
        <v>6</v>
      </c>
      <c r="R40" s="9"/>
      <c r="S40" s="9"/>
      <c r="T40" s="9"/>
      <c r="U40" s="9" t="s">
        <v>6</v>
      </c>
      <c r="V40" s="9"/>
      <c r="W40" s="9"/>
    </row>
    <row r="41" spans="3:24">
      <c r="X41" t="s">
        <v>13</v>
      </c>
    </row>
    <row r="45" spans="3:24">
      <c r="F45" s="10" t="s">
        <v>14</v>
      </c>
      <c r="G45" s="10"/>
      <c r="H45" s="10"/>
      <c r="I45" s="10"/>
    </row>
    <row r="47" spans="3:24">
      <c r="C47" s="2" t="s">
        <v>1</v>
      </c>
      <c r="D47" s="3">
        <v>7</v>
      </c>
      <c r="E47" s="3">
        <v>0</v>
      </c>
      <c r="F47" s="3">
        <v>1</v>
      </c>
      <c r="G47" s="3">
        <v>2</v>
      </c>
      <c r="H47" s="3">
        <v>0</v>
      </c>
      <c r="I47" s="3">
        <v>3</v>
      </c>
      <c r="J47" s="3">
        <v>0</v>
      </c>
      <c r="K47" s="3">
        <v>4</v>
      </c>
      <c r="L47" s="3">
        <v>2</v>
      </c>
      <c r="M47" s="3">
        <v>3</v>
      </c>
      <c r="N47" s="3">
        <v>0</v>
      </c>
      <c r="O47" s="4">
        <v>3</v>
      </c>
      <c r="P47" s="3">
        <v>2</v>
      </c>
      <c r="Q47" s="3">
        <v>1</v>
      </c>
      <c r="R47" s="3">
        <v>2</v>
      </c>
      <c r="S47" s="3">
        <v>0</v>
      </c>
      <c r="T47" s="3">
        <v>1</v>
      </c>
      <c r="U47" s="3">
        <v>7</v>
      </c>
      <c r="V47" s="3">
        <v>0</v>
      </c>
      <c r="W47" s="3">
        <v>1</v>
      </c>
    </row>
    <row r="48" spans="3:24">
      <c r="C48" s="2" t="s">
        <v>2</v>
      </c>
      <c r="D48" s="5">
        <v>7</v>
      </c>
      <c r="E48" s="5">
        <v>7</v>
      </c>
      <c r="F48" s="5">
        <v>7</v>
      </c>
      <c r="G48" s="5">
        <v>2</v>
      </c>
      <c r="H48" s="5">
        <v>2</v>
      </c>
      <c r="I48" s="5">
        <v>2</v>
      </c>
      <c r="J48" s="5">
        <v>2</v>
      </c>
      <c r="K48" s="5">
        <v>4</v>
      </c>
      <c r="L48" s="5">
        <v>4</v>
      </c>
      <c r="M48" s="5">
        <v>4</v>
      </c>
      <c r="N48" s="5">
        <v>0</v>
      </c>
      <c r="O48" s="5">
        <v>0</v>
      </c>
      <c r="P48" s="5">
        <v>0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5">
        <v>1</v>
      </c>
      <c r="W48" s="5">
        <v>1</v>
      </c>
    </row>
    <row r="49" spans="2:26">
      <c r="C49" s="2" t="s">
        <v>3</v>
      </c>
      <c r="D49" s="5"/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3</v>
      </c>
      <c r="N49" s="5">
        <v>3</v>
      </c>
      <c r="O49" s="5">
        <v>3</v>
      </c>
      <c r="P49" s="5">
        <v>3</v>
      </c>
      <c r="Q49" s="5">
        <v>3</v>
      </c>
      <c r="R49" s="5">
        <v>3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2:26" ht="15.75" thickBot="1">
      <c r="C50" s="6" t="s">
        <v>4</v>
      </c>
      <c r="D50" s="7"/>
      <c r="E50" s="7"/>
      <c r="F50" s="7">
        <v>1</v>
      </c>
      <c r="G50" s="7">
        <v>1</v>
      </c>
      <c r="H50" s="7">
        <v>1</v>
      </c>
      <c r="I50" s="7">
        <v>3</v>
      </c>
      <c r="J50" s="7">
        <v>3</v>
      </c>
      <c r="K50" s="7">
        <v>3</v>
      </c>
      <c r="L50" s="7">
        <v>2</v>
      </c>
      <c r="M50" s="7">
        <v>2</v>
      </c>
      <c r="N50" s="7">
        <v>2</v>
      </c>
      <c r="O50" s="7">
        <v>2</v>
      </c>
      <c r="P50" s="7">
        <v>2</v>
      </c>
      <c r="Q50" s="7">
        <v>2</v>
      </c>
      <c r="R50" s="7">
        <v>2</v>
      </c>
      <c r="S50" s="7">
        <v>2</v>
      </c>
      <c r="T50" s="7">
        <v>2</v>
      </c>
      <c r="U50" s="7">
        <v>7</v>
      </c>
      <c r="V50" s="7">
        <v>7</v>
      </c>
      <c r="W50" s="7">
        <v>7</v>
      </c>
    </row>
    <row r="51" spans="2:26" ht="15.75" thickTop="1">
      <c r="B51" s="13"/>
      <c r="C51" s="14" t="s">
        <v>15</v>
      </c>
      <c r="D51" s="9">
        <v>7</v>
      </c>
      <c r="E51" s="9">
        <v>0</v>
      </c>
      <c r="F51" s="9">
        <v>1</v>
      </c>
      <c r="G51" s="9">
        <v>2</v>
      </c>
      <c r="H51" s="9">
        <v>0</v>
      </c>
      <c r="I51" s="9">
        <v>3</v>
      </c>
      <c r="J51" s="9">
        <v>0</v>
      </c>
      <c r="K51" s="9">
        <v>4</v>
      </c>
      <c r="L51" s="9">
        <v>2</v>
      </c>
      <c r="M51" s="9">
        <v>3</v>
      </c>
      <c r="N51" s="9">
        <v>0</v>
      </c>
      <c r="O51" s="9">
        <v>3</v>
      </c>
      <c r="P51" s="9">
        <v>2</v>
      </c>
      <c r="Q51" s="9">
        <v>1</v>
      </c>
      <c r="R51" s="9">
        <v>2</v>
      </c>
      <c r="S51" s="9">
        <v>0</v>
      </c>
      <c r="T51" s="9">
        <v>1</v>
      </c>
      <c r="U51" s="9">
        <v>7</v>
      </c>
      <c r="V51" s="9">
        <v>0</v>
      </c>
      <c r="W51" s="15">
        <v>1</v>
      </c>
      <c r="X51" s="16"/>
    </row>
    <row r="52" spans="2:26">
      <c r="B52" s="13"/>
      <c r="C52" s="17" t="s">
        <v>16</v>
      </c>
      <c r="D52" s="5"/>
      <c r="E52" s="5">
        <v>7</v>
      </c>
      <c r="F52" s="5">
        <v>0</v>
      </c>
      <c r="G52" s="5">
        <v>1</v>
      </c>
      <c r="H52" s="5">
        <v>2</v>
      </c>
      <c r="I52" s="5">
        <v>0</v>
      </c>
      <c r="J52" s="5">
        <v>3</v>
      </c>
      <c r="K52" s="5">
        <v>0</v>
      </c>
      <c r="L52" s="5">
        <v>4</v>
      </c>
      <c r="M52" s="5">
        <v>2</v>
      </c>
      <c r="N52" s="5">
        <v>3</v>
      </c>
      <c r="O52" s="5">
        <v>0</v>
      </c>
      <c r="P52" s="5">
        <v>3</v>
      </c>
      <c r="Q52" s="5">
        <v>2</v>
      </c>
      <c r="R52" s="5">
        <v>1</v>
      </c>
      <c r="S52" s="5">
        <v>2</v>
      </c>
      <c r="T52" s="5">
        <v>0</v>
      </c>
      <c r="U52" s="5">
        <v>1</v>
      </c>
      <c r="V52" s="5">
        <v>7</v>
      </c>
      <c r="W52" s="18">
        <v>0</v>
      </c>
      <c r="X52" s="16"/>
    </row>
    <row r="53" spans="2:26" ht="15.75" thickBot="1">
      <c r="B53" s="13"/>
      <c r="C53" s="19" t="s">
        <v>17</v>
      </c>
      <c r="D53" s="7"/>
      <c r="E53" s="7"/>
      <c r="F53" s="7">
        <v>7</v>
      </c>
      <c r="G53" s="7">
        <v>0</v>
      </c>
      <c r="H53" s="7">
        <v>1</v>
      </c>
      <c r="I53" s="7">
        <v>2</v>
      </c>
      <c r="J53" s="7">
        <v>2</v>
      </c>
      <c r="K53" s="7">
        <v>3</v>
      </c>
      <c r="L53" s="7">
        <v>0</v>
      </c>
      <c r="M53" s="7">
        <v>4</v>
      </c>
      <c r="N53" s="7">
        <v>2</v>
      </c>
      <c r="O53" s="7">
        <v>2</v>
      </c>
      <c r="P53" s="7">
        <v>0</v>
      </c>
      <c r="Q53" s="7">
        <v>3</v>
      </c>
      <c r="R53" s="7">
        <v>3</v>
      </c>
      <c r="S53" s="7">
        <v>1</v>
      </c>
      <c r="T53" s="7">
        <v>2</v>
      </c>
      <c r="U53" s="7">
        <v>0</v>
      </c>
      <c r="V53" s="7">
        <v>1</v>
      </c>
      <c r="W53" s="20">
        <v>7</v>
      </c>
      <c r="X53" s="16"/>
    </row>
    <row r="54" spans="2:26" ht="15.75" thickTop="1">
      <c r="C54" s="8" t="s">
        <v>5</v>
      </c>
      <c r="D54" s="9" t="s">
        <v>6</v>
      </c>
      <c r="E54" s="9" t="s">
        <v>6</v>
      </c>
      <c r="F54" s="9" t="s">
        <v>6</v>
      </c>
      <c r="G54" s="9" t="s">
        <v>6</v>
      </c>
      <c r="H54" s="9"/>
      <c r="I54" s="9" t="s">
        <v>6</v>
      </c>
      <c r="J54" s="9"/>
      <c r="K54" s="9" t="s">
        <v>6</v>
      </c>
      <c r="L54" s="9" t="s">
        <v>6</v>
      </c>
      <c r="M54" s="9" t="s">
        <v>6</v>
      </c>
      <c r="N54" s="9" t="s">
        <v>6</v>
      </c>
      <c r="O54" s="9"/>
      <c r="P54" s="9"/>
      <c r="Q54" s="9" t="s">
        <v>6</v>
      </c>
      <c r="R54" s="9"/>
      <c r="S54" s="9" t="s">
        <v>6</v>
      </c>
      <c r="T54" s="9"/>
      <c r="U54" s="9" t="s">
        <v>6</v>
      </c>
      <c r="V54" s="9"/>
      <c r="W54" s="9"/>
    </row>
    <row r="59" spans="2:26">
      <c r="F59" s="10" t="s">
        <v>18</v>
      </c>
      <c r="G59" s="10"/>
      <c r="H59" s="10"/>
      <c r="I59" s="10"/>
    </row>
    <row r="61" spans="2:26">
      <c r="C61" s="2" t="s">
        <v>1</v>
      </c>
      <c r="D61" s="3" t="s">
        <v>19</v>
      </c>
      <c r="E61" s="3">
        <v>1</v>
      </c>
      <c r="F61" s="3">
        <v>2</v>
      </c>
      <c r="G61" s="3">
        <v>3</v>
      </c>
      <c r="H61" s="3">
        <v>4</v>
      </c>
      <c r="I61" s="3">
        <v>5</v>
      </c>
      <c r="J61" s="3">
        <v>2</v>
      </c>
      <c r="K61" s="3">
        <v>1</v>
      </c>
      <c r="L61" s="3">
        <v>3</v>
      </c>
      <c r="M61" s="3">
        <v>6</v>
      </c>
      <c r="N61" s="3">
        <v>7</v>
      </c>
      <c r="O61" s="3">
        <v>3</v>
      </c>
      <c r="P61" s="4">
        <v>6</v>
      </c>
      <c r="Q61" s="3">
        <v>7</v>
      </c>
      <c r="R61" s="3">
        <v>8</v>
      </c>
      <c r="S61" s="3">
        <v>9</v>
      </c>
      <c r="T61" s="3">
        <v>10</v>
      </c>
      <c r="U61" s="3">
        <v>9</v>
      </c>
      <c r="V61" s="3">
        <v>7</v>
      </c>
      <c r="W61" s="3">
        <v>10</v>
      </c>
      <c r="X61" s="3">
        <v>11</v>
      </c>
      <c r="Y61" s="4">
        <v>10</v>
      </c>
      <c r="Z61" s="4">
        <v>12</v>
      </c>
    </row>
    <row r="62" spans="2:26">
      <c r="C62" s="2" t="s">
        <v>2</v>
      </c>
      <c r="D62" s="5" t="s">
        <v>20</v>
      </c>
      <c r="E62" s="5">
        <v>1</v>
      </c>
      <c r="F62" s="5">
        <v>1</v>
      </c>
      <c r="G62" s="5">
        <v>1</v>
      </c>
      <c r="H62" s="5">
        <v>1</v>
      </c>
      <c r="I62" s="5">
        <v>5</v>
      </c>
      <c r="J62" s="5">
        <v>5</v>
      </c>
      <c r="K62" s="5">
        <v>5</v>
      </c>
      <c r="L62" s="5">
        <v>5</v>
      </c>
      <c r="M62" s="5">
        <v>6</v>
      </c>
      <c r="N62" s="5">
        <v>6</v>
      </c>
      <c r="O62" s="5">
        <v>6</v>
      </c>
      <c r="P62" s="5">
        <v>6</v>
      </c>
      <c r="Q62" s="5">
        <v>6</v>
      </c>
      <c r="R62" s="5">
        <v>6</v>
      </c>
      <c r="S62" s="5">
        <v>6</v>
      </c>
      <c r="T62" s="5">
        <v>10</v>
      </c>
      <c r="U62" s="5">
        <v>10</v>
      </c>
      <c r="V62" s="5">
        <v>10</v>
      </c>
      <c r="W62" s="5">
        <v>10</v>
      </c>
      <c r="X62" s="5">
        <v>10</v>
      </c>
      <c r="Y62" s="5">
        <v>10</v>
      </c>
      <c r="Z62" s="5">
        <v>10</v>
      </c>
    </row>
    <row r="63" spans="2:26">
      <c r="C63" s="2" t="s">
        <v>3</v>
      </c>
      <c r="D63" s="5" t="s">
        <v>20</v>
      </c>
      <c r="E63" s="5"/>
      <c r="F63" s="5">
        <v>2</v>
      </c>
      <c r="G63" s="5">
        <v>2</v>
      </c>
      <c r="H63" s="5">
        <v>2</v>
      </c>
      <c r="I63" s="5">
        <v>2</v>
      </c>
      <c r="J63" s="5">
        <v>2</v>
      </c>
      <c r="K63" s="5">
        <v>2</v>
      </c>
      <c r="L63" s="5">
        <v>2</v>
      </c>
      <c r="M63" s="5">
        <v>2</v>
      </c>
      <c r="N63" s="5">
        <v>7</v>
      </c>
      <c r="O63" s="5">
        <v>7</v>
      </c>
      <c r="P63" s="5">
        <v>7</v>
      </c>
      <c r="Q63" s="5">
        <v>7</v>
      </c>
      <c r="R63" s="5">
        <v>7</v>
      </c>
      <c r="S63" s="5">
        <v>7</v>
      </c>
      <c r="T63" s="5">
        <v>7</v>
      </c>
      <c r="U63" s="5">
        <v>7</v>
      </c>
      <c r="V63" s="5">
        <v>7</v>
      </c>
      <c r="W63" s="5">
        <v>7</v>
      </c>
      <c r="X63" s="5">
        <v>7</v>
      </c>
      <c r="Y63" s="5">
        <v>7</v>
      </c>
      <c r="Z63" s="5">
        <v>12</v>
      </c>
    </row>
    <row r="64" spans="2:26">
      <c r="C64" s="2" t="s">
        <v>4</v>
      </c>
      <c r="D64" s="5" t="s">
        <v>20</v>
      </c>
      <c r="E64" s="5"/>
      <c r="F64" s="5"/>
      <c r="G64" s="5">
        <v>3</v>
      </c>
      <c r="H64" s="5">
        <v>3</v>
      </c>
      <c r="I64" s="5">
        <v>3</v>
      </c>
      <c r="J64" s="5">
        <v>3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  <c r="Q64" s="5">
        <v>1</v>
      </c>
      <c r="R64" s="5">
        <v>8</v>
      </c>
      <c r="S64" s="5">
        <v>8</v>
      </c>
      <c r="T64" s="5">
        <v>8</v>
      </c>
      <c r="U64" s="5">
        <v>8</v>
      </c>
      <c r="V64" s="5">
        <v>8</v>
      </c>
      <c r="W64" s="5">
        <v>8</v>
      </c>
      <c r="X64" s="5">
        <v>11</v>
      </c>
      <c r="Y64" s="5">
        <v>11</v>
      </c>
      <c r="Z64" s="5">
        <v>11</v>
      </c>
    </row>
    <row r="65" spans="2:27" ht="15.75" thickBot="1">
      <c r="C65" s="6" t="s">
        <v>8</v>
      </c>
      <c r="D65" s="7" t="s">
        <v>20</v>
      </c>
      <c r="E65" s="7"/>
      <c r="F65" s="7"/>
      <c r="G65" s="7"/>
      <c r="H65" s="7">
        <v>4</v>
      </c>
      <c r="I65" s="7">
        <v>4</v>
      </c>
      <c r="J65" s="7">
        <v>4</v>
      </c>
      <c r="K65" s="7">
        <v>4</v>
      </c>
      <c r="L65" s="7">
        <v>3</v>
      </c>
      <c r="M65" s="7">
        <v>3</v>
      </c>
      <c r="N65" s="7">
        <v>3</v>
      </c>
      <c r="O65" s="7">
        <v>3</v>
      </c>
      <c r="P65" s="7">
        <v>3</v>
      </c>
      <c r="Q65" s="7">
        <v>3</v>
      </c>
      <c r="R65" s="7">
        <v>3</v>
      </c>
      <c r="S65" s="7">
        <v>9</v>
      </c>
      <c r="T65" s="7">
        <v>9</v>
      </c>
      <c r="U65" s="7">
        <v>9</v>
      </c>
      <c r="V65" s="7">
        <v>9</v>
      </c>
      <c r="W65" s="7">
        <v>9</v>
      </c>
      <c r="X65" s="7">
        <v>9</v>
      </c>
      <c r="Y65" s="7">
        <v>9</v>
      </c>
      <c r="Z65" s="7">
        <v>9</v>
      </c>
    </row>
    <row r="66" spans="2:27" ht="15.75" thickTop="1">
      <c r="B66" s="13"/>
      <c r="C66" s="14" t="s">
        <v>21</v>
      </c>
      <c r="D66" s="9">
        <v>0</v>
      </c>
      <c r="E66" s="9">
        <v>1</v>
      </c>
      <c r="F66" s="9">
        <v>1</v>
      </c>
      <c r="G66" s="9">
        <v>1</v>
      </c>
      <c r="H66" s="9">
        <v>1</v>
      </c>
      <c r="I66" s="9">
        <v>1</v>
      </c>
      <c r="J66" s="9">
        <v>1</v>
      </c>
      <c r="K66" s="9">
        <v>1</v>
      </c>
      <c r="L66" s="9">
        <v>1</v>
      </c>
      <c r="M66" s="9">
        <v>1</v>
      </c>
      <c r="N66" s="9">
        <v>1</v>
      </c>
      <c r="O66" s="9">
        <v>1</v>
      </c>
      <c r="P66" s="9">
        <v>1</v>
      </c>
      <c r="Q66" s="9">
        <v>1</v>
      </c>
      <c r="R66" s="9">
        <v>1</v>
      </c>
      <c r="S66" s="9">
        <v>0</v>
      </c>
      <c r="T66" s="9">
        <v>1</v>
      </c>
      <c r="U66" s="9">
        <v>1</v>
      </c>
      <c r="V66" s="9">
        <v>1</v>
      </c>
      <c r="W66" s="9">
        <v>1</v>
      </c>
      <c r="X66" s="9">
        <v>1</v>
      </c>
      <c r="Y66" s="21">
        <v>1</v>
      </c>
      <c r="Z66" s="22">
        <v>1</v>
      </c>
    </row>
    <row r="67" spans="2:27">
      <c r="B67" s="13"/>
      <c r="C67" s="17" t="s">
        <v>22</v>
      </c>
      <c r="D67" s="5">
        <v>0</v>
      </c>
      <c r="E67" s="5">
        <v>0</v>
      </c>
      <c r="F67" s="5">
        <v>1</v>
      </c>
      <c r="G67" s="5">
        <v>1</v>
      </c>
      <c r="H67" s="5">
        <v>1</v>
      </c>
      <c r="I67" s="5">
        <v>0</v>
      </c>
      <c r="J67" s="5">
        <v>1</v>
      </c>
      <c r="K67" s="5">
        <v>1</v>
      </c>
      <c r="L67" s="5">
        <v>1</v>
      </c>
      <c r="M67" s="5">
        <v>0</v>
      </c>
      <c r="N67" s="5">
        <v>1</v>
      </c>
      <c r="O67" s="5">
        <v>1</v>
      </c>
      <c r="P67" s="5">
        <v>1</v>
      </c>
      <c r="Q67" s="5">
        <v>1</v>
      </c>
      <c r="R67" s="5">
        <v>1</v>
      </c>
      <c r="S67" s="5">
        <v>0</v>
      </c>
      <c r="T67" s="5">
        <v>0</v>
      </c>
      <c r="U67" s="5">
        <v>0</v>
      </c>
      <c r="V67" s="5">
        <v>1</v>
      </c>
      <c r="W67" s="5">
        <v>1</v>
      </c>
      <c r="X67" s="5">
        <v>0</v>
      </c>
      <c r="Y67" s="23">
        <v>0</v>
      </c>
      <c r="Z67" s="18">
        <v>1</v>
      </c>
      <c r="AA67" s="16"/>
    </row>
    <row r="68" spans="2:27">
      <c r="B68" s="13"/>
      <c r="C68" s="17" t="s">
        <v>23</v>
      </c>
      <c r="D68" s="5">
        <v>0</v>
      </c>
      <c r="E68" s="5">
        <v>0</v>
      </c>
      <c r="F68" s="5">
        <v>0</v>
      </c>
      <c r="G68" s="5">
        <v>1</v>
      </c>
      <c r="H68" s="5">
        <v>1</v>
      </c>
      <c r="I68" s="5">
        <v>0</v>
      </c>
      <c r="J68" s="5">
        <v>0</v>
      </c>
      <c r="K68" s="5">
        <v>1</v>
      </c>
      <c r="L68" s="5">
        <v>1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1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  <c r="Y68" s="23">
        <v>1</v>
      </c>
      <c r="Z68" s="18">
        <v>1</v>
      </c>
      <c r="AA68" s="16"/>
    </row>
    <row r="69" spans="2:27" ht="15.75" thickBot="1">
      <c r="B69" s="13"/>
      <c r="C69" s="19" t="s">
        <v>24</v>
      </c>
      <c r="D69" s="7">
        <v>0</v>
      </c>
      <c r="E69" s="7">
        <v>0</v>
      </c>
      <c r="F69" s="7">
        <v>0</v>
      </c>
      <c r="G69" s="7">
        <v>0</v>
      </c>
      <c r="H69" s="7">
        <v>1</v>
      </c>
      <c r="I69" s="7">
        <v>0</v>
      </c>
      <c r="J69" s="7">
        <v>0</v>
      </c>
      <c r="K69" s="7">
        <v>0</v>
      </c>
      <c r="L69" s="7">
        <v>1</v>
      </c>
      <c r="M69" s="7">
        <v>0</v>
      </c>
      <c r="N69" s="7">
        <v>0</v>
      </c>
      <c r="O69" s="7">
        <v>1</v>
      </c>
      <c r="P69" s="7">
        <v>1</v>
      </c>
      <c r="Q69" s="7">
        <v>1</v>
      </c>
      <c r="R69" s="7">
        <v>1</v>
      </c>
      <c r="S69" s="7">
        <v>1</v>
      </c>
      <c r="T69" s="7">
        <v>1</v>
      </c>
      <c r="U69" s="7">
        <v>1</v>
      </c>
      <c r="V69" s="7">
        <v>1</v>
      </c>
      <c r="W69" s="7">
        <v>1</v>
      </c>
      <c r="X69" s="7">
        <v>1</v>
      </c>
      <c r="Y69" s="24">
        <v>1</v>
      </c>
      <c r="Z69" s="20">
        <v>1</v>
      </c>
      <c r="AA69" s="16"/>
    </row>
    <row r="70" spans="2:27" ht="15.75" thickTop="1">
      <c r="C70" s="8" t="s">
        <v>25</v>
      </c>
      <c r="D70" s="9"/>
      <c r="E70" s="9" t="s">
        <v>6</v>
      </c>
      <c r="F70" s="9" t="s">
        <v>6</v>
      </c>
      <c r="G70" s="9" t="s">
        <v>6</v>
      </c>
      <c r="H70" s="9" t="s">
        <v>6</v>
      </c>
      <c r="I70" s="9" t="s">
        <v>6</v>
      </c>
      <c r="J70" s="9"/>
      <c r="K70" s="9" t="s">
        <v>6</v>
      </c>
      <c r="L70" s="9" t="s">
        <v>6</v>
      </c>
      <c r="M70" s="9" t="s">
        <v>6</v>
      </c>
      <c r="N70" s="9" t="s">
        <v>6</v>
      </c>
      <c r="O70" s="9"/>
      <c r="P70" s="9"/>
      <c r="Q70" s="9"/>
      <c r="R70" s="9" t="s">
        <v>6</v>
      </c>
      <c r="S70" s="9" t="s">
        <v>6</v>
      </c>
      <c r="T70" s="9" t="s">
        <v>6</v>
      </c>
      <c r="U70" s="9"/>
      <c r="V70" s="9"/>
      <c r="W70" s="9"/>
      <c r="X70" s="9" t="s">
        <v>6</v>
      </c>
      <c r="Y70" s="9"/>
      <c r="Z70" s="9" t="s">
        <v>6</v>
      </c>
    </row>
    <row r="71" spans="2:27">
      <c r="C71" s="2" t="s">
        <v>26</v>
      </c>
      <c r="D71" s="5"/>
      <c r="E71" s="5">
        <v>1</v>
      </c>
      <c r="F71" s="5">
        <v>2</v>
      </c>
      <c r="G71" s="5">
        <v>3</v>
      </c>
      <c r="H71" s="5">
        <v>4</v>
      </c>
      <c r="I71" s="5">
        <v>1</v>
      </c>
      <c r="J71" s="5">
        <v>2</v>
      </c>
      <c r="K71" s="5">
        <v>3</v>
      </c>
      <c r="L71" s="5">
        <v>4</v>
      </c>
      <c r="M71" s="5">
        <v>1</v>
      </c>
      <c r="N71" s="5">
        <v>2</v>
      </c>
      <c r="O71" s="5">
        <v>4</v>
      </c>
      <c r="P71" s="5">
        <v>1</v>
      </c>
      <c r="Q71" s="5">
        <v>2</v>
      </c>
      <c r="R71" s="5">
        <v>3</v>
      </c>
      <c r="S71" s="5">
        <v>4</v>
      </c>
      <c r="T71" s="5">
        <v>1</v>
      </c>
      <c r="U71" s="5">
        <v>4</v>
      </c>
      <c r="V71" s="5">
        <v>2</v>
      </c>
      <c r="W71" s="5">
        <v>1</v>
      </c>
      <c r="X71" s="5">
        <v>3</v>
      </c>
      <c r="Y71" s="5">
        <v>1</v>
      </c>
      <c r="Z71" s="5">
        <v>2</v>
      </c>
    </row>
    <row r="72" spans="2:27">
      <c r="C72" s="2" t="s">
        <v>27</v>
      </c>
      <c r="D72" s="5">
        <v>1</v>
      </c>
      <c r="E72" s="5">
        <v>2</v>
      </c>
      <c r="F72" s="5">
        <v>3</v>
      </c>
      <c r="G72" s="5">
        <v>4</v>
      </c>
      <c r="H72" s="5">
        <v>1</v>
      </c>
      <c r="I72" s="5">
        <v>2</v>
      </c>
      <c r="J72" s="5">
        <v>3</v>
      </c>
      <c r="K72" s="5">
        <v>4</v>
      </c>
      <c r="L72" s="5">
        <v>1</v>
      </c>
      <c r="M72" s="5">
        <v>2</v>
      </c>
      <c r="N72" s="5">
        <v>3</v>
      </c>
      <c r="O72" s="5">
        <v>1</v>
      </c>
      <c r="P72" s="5">
        <v>2</v>
      </c>
      <c r="Q72" s="5">
        <v>3</v>
      </c>
      <c r="R72" s="5">
        <v>4</v>
      </c>
      <c r="S72" s="5">
        <v>1</v>
      </c>
      <c r="T72" s="5">
        <v>2</v>
      </c>
      <c r="U72" s="5">
        <v>1</v>
      </c>
      <c r="V72" s="5">
        <v>3</v>
      </c>
      <c r="W72" s="5">
        <v>2</v>
      </c>
      <c r="X72" s="5">
        <v>4</v>
      </c>
      <c r="Y72" s="5">
        <v>2</v>
      </c>
      <c r="Z72" s="5">
        <v>3</v>
      </c>
    </row>
  </sheetData>
  <mergeCells count="2">
    <mergeCell ref="AA6:AI10"/>
    <mergeCell ref="AA12:AI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#toshiba</dc:creator>
  <cp:lastModifiedBy>#toshiba</cp:lastModifiedBy>
  <dcterms:created xsi:type="dcterms:W3CDTF">2021-05-04T15:38:44Z</dcterms:created>
  <dcterms:modified xsi:type="dcterms:W3CDTF">2021-05-04T15:43:28Z</dcterms:modified>
</cp:coreProperties>
</file>