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115" windowHeight="801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F137" i="1"/>
  <c r="E134"/>
  <c r="E132"/>
  <c r="E131"/>
  <c r="E128"/>
  <c r="F113"/>
  <c r="E109"/>
  <c r="E108"/>
  <c r="E107"/>
  <c r="E104"/>
  <c r="F88"/>
  <c r="E87"/>
  <c r="E82"/>
  <c r="E79"/>
  <c r="F64"/>
  <c r="E61"/>
  <c r="E60"/>
  <c r="E58"/>
  <c r="E55"/>
  <c r="F42"/>
  <c r="E39"/>
  <c r="E37"/>
  <c r="E34"/>
  <c r="E33"/>
  <c r="F20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<sst xmlns="http://schemas.openxmlformats.org/spreadsheetml/2006/main" count="55" uniqueCount="17">
  <si>
    <t>PLANIFICADORES</t>
  </si>
  <si>
    <t>FCFS o FIFO</t>
  </si>
  <si>
    <t>Secuencia:</t>
  </si>
  <si>
    <t>PISTA ORIGEN</t>
  </si>
  <si>
    <t>PISTA DESTINO</t>
  </si>
  <si>
    <t>PISTAS RECORRIDAS</t>
  </si>
  <si>
    <t>TIEMPO EN mseg</t>
  </si>
  <si>
    <t>Pista origen:</t>
  </si>
  <si>
    <t>SSTF (Shortest Seak Time First)</t>
  </si>
  <si>
    <t>SCAN</t>
  </si>
  <si>
    <t>C-SCAN</t>
  </si>
  <si>
    <t>LOOK</t>
  </si>
  <si>
    <t>C-LOOK</t>
  </si>
  <si>
    <t>Tiempo de recorrido por cada pista: 1 mseg</t>
  </si>
  <si>
    <t>subiendo</t>
  </si>
  <si>
    <t>total</t>
  </si>
  <si>
    <t>dato: de la pista 200 a 0 toma 20 mseg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</si>
</sst>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14</xdr:col>
      <xdr:colOff>476250</xdr:colOff>
      <xdr:row>19</xdr:row>
      <xdr:rowOff>152400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53125" y="1905000"/>
          <a:ext cx="4572000" cy="2800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14</xdr:col>
      <xdr:colOff>476250</xdr:colOff>
      <xdr:row>43</xdr:row>
      <xdr:rowOff>19050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6648450"/>
          <a:ext cx="4572000" cy="2686050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52</xdr:row>
      <xdr:rowOff>76200</xdr:rowOff>
    </xdr:from>
    <xdr:to>
      <xdr:col>14</xdr:col>
      <xdr:colOff>466725</xdr:colOff>
      <xdr:row>64</xdr:row>
      <xdr:rowOff>76200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43600" y="10725150"/>
          <a:ext cx="4572000" cy="2476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14</xdr:col>
      <xdr:colOff>476250</xdr:colOff>
      <xdr:row>88</xdr:row>
      <xdr:rowOff>9525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53125" y="15792450"/>
          <a:ext cx="4572000" cy="24860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14</xdr:col>
      <xdr:colOff>476250</xdr:colOff>
      <xdr:row>113</xdr:row>
      <xdr:rowOff>0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953125" y="20745450"/>
          <a:ext cx="4572000" cy="2476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125</xdr:row>
      <xdr:rowOff>0</xdr:rowOff>
    </xdr:from>
    <xdr:to>
      <xdr:col>14</xdr:col>
      <xdr:colOff>476250</xdr:colOff>
      <xdr:row>137</xdr:row>
      <xdr:rowOff>9525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53125" y="25507950"/>
          <a:ext cx="4572000" cy="2486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M163"/>
  <sheetViews>
    <sheetView tabSelected="1" topLeftCell="B1" workbookViewId="0">
      <selection activeCell="H129" sqref="H129"/>
    </sheetView>
  </sheetViews>
  <sheetFormatPr baseColWidth="10" defaultRowHeight="15"/>
  <cols>
    <col min="4" max="4" width="10.140625" customWidth="1"/>
    <col min="5" max="5" width="12.140625" customWidth="1"/>
    <col min="6" max="6" width="11.42578125" customWidth="1"/>
    <col min="7" max="7" width="10.85546875" customWidth="1"/>
    <col min="8" max="8" width="10.42578125" customWidth="1"/>
    <col min="9" max="9" width="10.140625" customWidth="1"/>
    <col min="10" max="10" width="9.7109375" customWidth="1"/>
    <col min="11" max="11" width="9.42578125" customWidth="1"/>
    <col min="12" max="12" width="9.28515625" customWidth="1"/>
  </cols>
  <sheetData>
    <row r="2" spans="3:12">
      <c r="D2" s="2" t="s">
        <v>0</v>
      </c>
    </row>
    <row r="3" spans="3:12">
      <c r="E3" t="s">
        <v>13</v>
      </c>
    </row>
    <row r="4" spans="3:12">
      <c r="C4" s="2" t="s">
        <v>1</v>
      </c>
    </row>
    <row r="6" spans="3:12">
      <c r="C6" s="1" t="s">
        <v>2</v>
      </c>
      <c r="D6" s="10">
        <v>98</v>
      </c>
      <c r="E6" s="10">
        <v>183</v>
      </c>
      <c r="F6" s="10">
        <v>37</v>
      </c>
      <c r="G6" s="10">
        <v>122</v>
      </c>
      <c r="H6" s="10">
        <v>15</v>
      </c>
      <c r="I6" s="10">
        <v>124</v>
      </c>
      <c r="J6" s="10">
        <v>54</v>
      </c>
      <c r="K6" s="10">
        <v>15</v>
      </c>
      <c r="L6" s="10">
        <v>4</v>
      </c>
    </row>
    <row r="7" spans="3:12">
      <c r="C7" s="1" t="s">
        <v>7</v>
      </c>
      <c r="D7" s="4">
        <v>53</v>
      </c>
    </row>
    <row r="9" spans="3:12" ht="58.5" customHeight="1">
      <c r="C9" s="5" t="s">
        <v>3</v>
      </c>
      <c r="D9" s="5" t="s">
        <v>4</v>
      </c>
      <c r="E9" s="5" t="s">
        <v>5</v>
      </c>
      <c r="F9" s="5" t="s">
        <v>6</v>
      </c>
      <c r="G9" s="3"/>
    </row>
    <row r="10" spans="3:12">
      <c r="C10" s="9">
        <v>53</v>
      </c>
      <c r="D10" s="9">
        <v>98</v>
      </c>
      <c r="E10" s="9">
        <f>D10-C10</f>
        <v>45</v>
      </c>
      <c r="F10" s="9">
        <v>45</v>
      </c>
    </row>
    <row r="11" spans="3:12">
      <c r="C11" s="9">
        <v>98</v>
      </c>
      <c r="D11" s="9">
        <v>183</v>
      </c>
      <c r="E11" s="9">
        <f>D11-C11</f>
        <v>85</v>
      </c>
      <c r="F11" s="9">
        <v>85</v>
      </c>
    </row>
    <row r="12" spans="3:12">
      <c r="C12" s="9">
        <v>183</v>
      </c>
      <c r="D12" s="9">
        <v>37</v>
      </c>
      <c r="E12" s="9">
        <f>183-37</f>
        <v>146</v>
      </c>
      <c r="F12" s="9">
        <v>146</v>
      </c>
    </row>
    <row r="13" spans="3:12">
      <c r="C13" s="9">
        <v>37</v>
      </c>
      <c r="D13" s="9">
        <v>122</v>
      </c>
      <c r="E13" s="9">
        <f>122-37</f>
        <v>85</v>
      </c>
      <c r="F13" s="9">
        <v>85</v>
      </c>
    </row>
    <row r="14" spans="3:12">
      <c r="C14" s="9">
        <v>122</v>
      </c>
      <c r="D14" s="9">
        <v>15</v>
      </c>
      <c r="E14" s="9">
        <f>122-15</f>
        <v>107</v>
      </c>
      <c r="F14" s="9">
        <v>107</v>
      </c>
    </row>
    <row r="15" spans="3:12">
      <c r="C15" s="9">
        <v>15</v>
      </c>
      <c r="D15" s="9">
        <v>124</v>
      </c>
      <c r="E15" s="9">
        <f>124-15</f>
        <v>109</v>
      </c>
      <c r="F15" s="9">
        <v>109</v>
      </c>
    </row>
    <row r="16" spans="3:12">
      <c r="C16" s="9">
        <v>124</v>
      </c>
      <c r="D16" s="9">
        <v>54</v>
      </c>
      <c r="E16" s="9">
        <f>124-54</f>
        <v>70</v>
      </c>
      <c r="F16" s="9">
        <v>70</v>
      </c>
    </row>
    <row r="17" spans="3:12">
      <c r="C17" s="9">
        <v>54</v>
      </c>
      <c r="D17" s="9">
        <v>15</v>
      </c>
      <c r="E17" s="9">
        <f>54-15</f>
        <v>39</v>
      </c>
      <c r="F17" s="9">
        <v>39</v>
      </c>
    </row>
    <row r="18" spans="3:12">
      <c r="C18" s="9">
        <v>15</v>
      </c>
      <c r="D18" s="9">
        <v>4</v>
      </c>
      <c r="E18" s="9">
        <f>15-4</f>
        <v>11</v>
      </c>
      <c r="F18" s="9">
        <v>11</v>
      </c>
    </row>
    <row r="19" spans="3:12">
      <c r="C19" s="9"/>
      <c r="D19" s="9"/>
      <c r="E19" s="9"/>
      <c r="F19" s="9"/>
    </row>
    <row r="20" spans="3:12">
      <c r="C20" s="9"/>
      <c r="D20" s="9"/>
      <c r="E20" s="9" t="s">
        <v>15</v>
      </c>
      <c r="F20" s="9">
        <f>SUM(F10:F18)</f>
        <v>697</v>
      </c>
    </row>
    <row r="26" spans="3:12">
      <c r="C26" s="2" t="s">
        <v>8</v>
      </c>
    </row>
    <row r="28" spans="3:12">
      <c r="C28" s="1" t="s">
        <v>2</v>
      </c>
      <c r="D28" s="10">
        <v>98</v>
      </c>
      <c r="E28" s="10">
        <v>183</v>
      </c>
      <c r="F28" s="10">
        <v>37</v>
      </c>
      <c r="G28" s="10">
        <v>122</v>
      </c>
      <c r="H28" s="10">
        <v>15</v>
      </c>
      <c r="I28" s="10">
        <v>124</v>
      </c>
      <c r="J28" s="10">
        <v>54</v>
      </c>
      <c r="K28" s="10">
        <v>15</v>
      </c>
      <c r="L28" s="10">
        <v>4</v>
      </c>
    </row>
    <row r="29" spans="3:12">
      <c r="C29" s="1" t="s">
        <v>7</v>
      </c>
      <c r="D29" s="4">
        <v>53</v>
      </c>
    </row>
    <row r="31" spans="3:12" ht="30">
      <c r="C31" s="5" t="s">
        <v>3</v>
      </c>
      <c r="D31" s="5" t="s">
        <v>4</v>
      </c>
      <c r="E31" s="5" t="s">
        <v>5</v>
      </c>
      <c r="F31" s="5" t="s">
        <v>6</v>
      </c>
      <c r="G31" s="3"/>
    </row>
    <row r="32" spans="3:12">
      <c r="C32" s="9">
        <v>53</v>
      </c>
      <c r="D32" s="9">
        <v>54</v>
      </c>
      <c r="E32" s="9">
        <v>1</v>
      </c>
      <c r="F32" s="9">
        <v>1</v>
      </c>
    </row>
    <row r="33" spans="3:6">
      <c r="C33" s="9">
        <v>54</v>
      </c>
      <c r="D33" s="9">
        <v>37</v>
      </c>
      <c r="E33" s="9">
        <f>54-37</f>
        <v>17</v>
      </c>
      <c r="F33" s="9">
        <v>17</v>
      </c>
    </row>
    <row r="34" spans="3:6">
      <c r="C34" s="9">
        <v>37</v>
      </c>
      <c r="D34" s="9">
        <v>15</v>
      </c>
      <c r="E34" s="9">
        <f>37-15</f>
        <v>22</v>
      </c>
      <c r="F34" s="9">
        <v>22</v>
      </c>
    </row>
    <row r="35" spans="3:6">
      <c r="C35" s="9">
        <v>15</v>
      </c>
      <c r="D35" s="9">
        <v>4</v>
      </c>
      <c r="E35" s="9">
        <v>11</v>
      </c>
      <c r="F35" s="9">
        <v>11</v>
      </c>
    </row>
    <row r="36" spans="3:6">
      <c r="C36" s="9">
        <v>4</v>
      </c>
      <c r="D36" s="9">
        <v>98</v>
      </c>
      <c r="E36" s="9">
        <v>94</v>
      </c>
      <c r="F36" s="9">
        <v>94</v>
      </c>
    </row>
    <row r="37" spans="3:6">
      <c r="C37" s="9">
        <v>98</v>
      </c>
      <c r="D37" s="9">
        <v>122</v>
      </c>
      <c r="E37" s="9">
        <f>122-98</f>
        <v>24</v>
      </c>
      <c r="F37" s="9">
        <v>24</v>
      </c>
    </row>
    <row r="38" spans="3:6">
      <c r="C38" s="9">
        <v>122</v>
      </c>
      <c r="D38" s="9">
        <v>124</v>
      </c>
      <c r="E38" s="9">
        <v>2</v>
      </c>
      <c r="F38" s="9">
        <v>2</v>
      </c>
    </row>
    <row r="39" spans="3:6">
      <c r="C39" s="9">
        <v>124</v>
      </c>
      <c r="D39" s="9">
        <v>183</v>
      </c>
      <c r="E39" s="9">
        <f>183-124</f>
        <v>59</v>
      </c>
      <c r="F39" s="9">
        <v>59</v>
      </c>
    </row>
    <row r="40" spans="3:6">
      <c r="C40" s="9"/>
      <c r="D40" s="9"/>
      <c r="E40" s="9"/>
      <c r="F40" s="9"/>
    </row>
    <row r="41" spans="3:6">
      <c r="C41" s="9"/>
      <c r="D41" s="9"/>
      <c r="E41" s="9"/>
      <c r="F41" s="9"/>
    </row>
    <row r="42" spans="3:6">
      <c r="C42" s="9"/>
      <c r="D42" s="9"/>
      <c r="E42" s="9" t="s">
        <v>15</v>
      </c>
      <c r="F42" s="9">
        <f>SUM(F32:F39)</f>
        <v>230</v>
      </c>
    </row>
    <row r="48" spans="3:6">
      <c r="C48" s="2" t="s">
        <v>9</v>
      </c>
    </row>
    <row r="50" spans="3:12">
      <c r="C50" s="1" t="s">
        <v>2</v>
      </c>
      <c r="D50" s="10">
        <v>98</v>
      </c>
      <c r="E50" s="10">
        <v>183</v>
      </c>
      <c r="F50" s="10">
        <v>37</v>
      </c>
      <c r="G50" s="10">
        <v>122</v>
      </c>
      <c r="H50" s="10">
        <v>15</v>
      </c>
      <c r="I50" s="10">
        <v>124</v>
      </c>
      <c r="J50" s="10">
        <v>54</v>
      </c>
      <c r="K50" s="10">
        <v>15</v>
      </c>
      <c r="L50" s="10">
        <v>4</v>
      </c>
    </row>
    <row r="51" spans="3:12">
      <c r="C51" s="1" t="s">
        <v>7</v>
      </c>
      <c r="D51" s="4">
        <v>53</v>
      </c>
      <c r="E51" t="s">
        <v>14</v>
      </c>
    </row>
    <row r="53" spans="3:12" ht="30">
      <c r="C53" s="5" t="s">
        <v>3</v>
      </c>
      <c r="D53" s="5" t="s">
        <v>4</v>
      </c>
      <c r="E53" s="5" t="s">
        <v>5</v>
      </c>
      <c r="F53" s="5" t="s">
        <v>6</v>
      </c>
      <c r="G53" s="3"/>
    </row>
    <row r="54" spans="3:12">
      <c r="C54" s="9">
        <v>53</v>
      </c>
      <c r="D54" s="9">
        <v>54</v>
      </c>
      <c r="E54" s="9">
        <v>1</v>
      </c>
      <c r="F54" s="9">
        <v>1</v>
      </c>
    </row>
    <row r="55" spans="3:12">
      <c r="C55" s="9">
        <v>54</v>
      </c>
      <c r="D55" s="9">
        <v>98</v>
      </c>
      <c r="E55" s="9">
        <f>98-54</f>
        <v>44</v>
      </c>
      <c r="F55" s="9">
        <v>44</v>
      </c>
    </row>
    <row r="56" spans="3:12">
      <c r="C56" s="9">
        <v>98</v>
      </c>
      <c r="D56" s="9">
        <v>122</v>
      </c>
      <c r="E56" s="9">
        <v>24</v>
      </c>
      <c r="F56" s="9">
        <v>24</v>
      </c>
    </row>
    <row r="57" spans="3:12">
      <c r="C57" s="9">
        <v>122</v>
      </c>
      <c r="D57" s="9">
        <v>124</v>
      </c>
      <c r="E57" s="9">
        <v>2</v>
      </c>
      <c r="F57" s="9">
        <v>2</v>
      </c>
    </row>
    <row r="58" spans="3:12">
      <c r="C58" s="9">
        <v>124</v>
      </c>
      <c r="D58" s="9">
        <v>183</v>
      </c>
      <c r="E58" s="9">
        <f>183-124</f>
        <v>59</v>
      </c>
      <c r="F58" s="9">
        <v>59</v>
      </c>
    </row>
    <row r="59" spans="3:12">
      <c r="C59" s="9">
        <v>183</v>
      </c>
      <c r="D59" s="9">
        <v>200</v>
      </c>
      <c r="E59" s="9">
        <v>17</v>
      </c>
      <c r="F59" s="9">
        <v>17</v>
      </c>
    </row>
    <row r="60" spans="3:12">
      <c r="C60" s="9">
        <v>200</v>
      </c>
      <c r="D60" s="9">
        <v>37</v>
      </c>
      <c r="E60" s="9">
        <f>200-37</f>
        <v>163</v>
      </c>
      <c r="F60" s="9">
        <v>163</v>
      </c>
    </row>
    <row r="61" spans="3:12">
      <c r="C61" s="9">
        <v>37</v>
      </c>
      <c r="D61" s="9">
        <v>15</v>
      </c>
      <c r="E61" s="9">
        <f>37-15</f>
        <v>22</v>
      </c>
      <c r="F61" s="9">
        <v>22</v>
      </c>
    </row>
    <row r="62" spans="3:12">
      <c r="C62" s="9">
        <v>15</v>
      </c>
      <c r="D62" s="9">
        <v>4</v>
      </c>
      <c r="E62" s="9">
        <v>11</v>
      </c>
      <c r="F62" s="9">
        <v>11</v>
      </c>
    </row>
    <row r="63" spans="3:12">
      <c r="C63" s="9"/>
      <c r="D63" s="9"/>
      <c r="E63" s="9"/>
      <c r="F63" s="9"/>
    </row>
    <row r="64" spans="3:12">
      <c r="C64" s="9"/>
      <c r="D64" s="9"/>
      <c r="E64" s="9" t="s">
        <v>15</v>
      </c>
      <c r="F64" s="9">
        <f>SUM(F54:F62)</f>
        <v>343</v>
      </c>
    </row>
    <row r="72" spans="3:12">
      <c r="C72" s="2" t="s">
        <v>10</v>
      </c>
      <c r="F72" t="s">
        <v>16</v>
      </c>
    </row>
    <row r="74" spans="3:12">
      <c r="C74" s="1" t="s">
        <v>2</v>
      </c>
      <c r="D74" s="10">
        <v>98</v>
      </c>
      <c r="E74" s="10">
        <v>183</v>
      </c>
      <c r="F74" s="10">
        <v>37</v>
      </c>
      <c r="G74" s="10">
        <v>122</v>
      </c>
      <c r="H74" s="10">
        <v>15</v>
      </c>
      <c r="I74" s="10">
        <v>124</v>
      </c>
      <c r="J74" s="10">
        <v>54</v>
      </c>
      <c r="K74" s="10">
        <v>15</v>
      </c>
      <c r="L74" s="10">
        <v>4</v>
      </c>
    </row>
    <row r="75" spans="3:12">
      <c r="C75" s="1" t="s">
        <v>7</v>
      </c>
      <c r="D75" s="4">
        <v>53</v>
      </c>
      <c r="E75" t="s">
        <v>14</v>
      </c>
    </row>
    <row r="77" spans="3:12" ht="30">
      <c r="C77" s="5" t="s">
        <v>3</v>
      </c>
      <c r="D77" s="5" t="s">
        <v>4</v>
      </c>
      <c r="E77" s="5" t="s">
        <v>5</v>
      </c>
      <c r="F77" s="5" t="s">
        <v>6</v>
      </c>
      <c r="G77" s="3"/>
    </row>
    <row r="78" spans="3:12">
      <c r="C78" s="9">
        <v>53</v>
      </c>
      <c r="D78" s="9">
        <v>54</v>
      </c>
      <c r="E78" s="9">
        <v>1</v>
      </c>
      <c r="F78" s="9">
        <v>1</v>
      </c>
    </row>
    <row r="79" spans="3:12">
      <c r="C79" s="9">
        <v>54</v>
      </c>
      <c r="D79" s="9">
        <v>98</v>
      </c>
      <c r="E79" s="9">
        <f>98-54</f>
        <v>44</v>
      </c>
      <c r="F79" s="9">
        <v>44</v>
      </c>
    </row>
    <row r="80" spans="3:12">
      <c r="C80" s="9">
        <v>98</v>
      </c>
      <c r="D80" s="9">
        <v>122</v>
      </c>
      <c r="E80" s="9">
        <v>24</v>
      </c>
      <c r="F80" s="9">
        <v>24</v>
      </c>
    </row>
    <row r="81" spans="3:6">
      <c r="C81" s="9">
        <v>122</v>
      </c>
      <c r="D81" s="9">
        <v>124</v>
      </c>
      <c r="E81" s="9">
        <v>2</v>
      </c>
      <c r="F81" s="9">
        <v>2</v>
      </c>
    </row>
    <row r="82" spans="3:6">
      <c r="C82" s="9">
        <v>124</v>
      </c>
      <c r="D82" s="9">
        <v>183</v>
      </c>
      <c r="E82" s="9">
        <f>183-124</f>
        <v>59</v>
      </c>
      <c r="F82" s="9">
        <v>59</v>
      </c>
    </row>
    <row r="83" spans="3:6">
      <c r="C83" s="9">
        <v>183</v>
      </c>
      <c r="D83" s="9">
        <v>200</v>
      </c>
      <c r="E83" s="9">
        <v>17</v>
      </c>
      <c r="F83" s="9">
        <v>17</v>
      </c>
    </row>
    <row r="84" spans="3:6">
      <c r="C84" s="9">
        <v>200</v>
      </c>
      <c r="D84" s="9">
        <v>0</v>
      </c>
      <c r="E84" s="9">
        <v>200</v>
      </c>
      <c r="F84" s="11">
        <v>20</v>
      </c>
    </row>
    <row r="85" spans="3:6">
      <c r="C85" s="9">
        <v>0</v>
      </c>
      <c r="D85" s="9">
        <v>4</v>
      </c>
      <c r="E85" s="9">
        <v>4</v>
      </c>
      <c r="F85" s="9">
        <v>4</v>
      </c>
    </row>
    <row r="86" spans="3:6">
      <c r="C86" s="9">
        <v>4</v>
      </c>
      <c r="D86" s="9">
        <v>15</v>
      </c>
      <c r="E86" s="9">
        <v>11</v>
      </c>
      <c r="F86" s="9">
        <v>11</v>
      </c>
    </row>
    <row r="87" spans="3:6">
      <c r="C87" s="9">
        <v>15</v>
      </c>
      <c r="D87" s="9">
        <v>37</v>
      </c>
      <c r="E87" s="9">
        <f>37-15</f>
        <v>22</v>
      </c>
      <c r="F87" s="9">
        <v>22</v>
      </c>
    </row>
    <row r="88" spans="3:6">
      <c r="C88" s="9"/>
      <c r="D88" s="9"/>
      <c r="E88" s="9" t="s">
        <v>15</v>
      </c>
      <c r="F88" s="9">
        <f>SUM(F78:F87)</f>
        <v>204</v>
      </c>
    </row>
    <row r="97" spans="3:12">
      <c r="C97" s="2" t="s">
        <v>11</v>
      </c>
    </row>
    <row r="99" spans="3:12">
      <c r="C99" s="1" t="s">
        <v>2</v>
      </c>
      <c r="D99" s="10">
        <v>98</v>
      </c>
      <c r="E99" s="10">
        <v>183</v>
      </c>
      <c r="F99" s="10">
        <v>37</v>
      </c>
      <c r="G99" s="10">
        <v>122</v>
      </c>
      <c r="H99" s="10">
        <v>15</v>
      </c>
      <c r="I99" s="10">
        <v>124</v>
      </c>
      <c r="J99" s="10">
        <v>54</v>
      </c>
      <c r="K99" s="10">
        <v>15</v>
      </c>
      <c r="L99" s="10">
        <v>4</v>
      </c>
    </row>
    <row r="100" spans="3:12">
      <c r="C100" s="1" t="s">
        <v>7</v>
      </c>
      <c r="D100" s="4">
        <v>53</v>
      </c>
      <c r="E100" t="s">
        <v>14</v>
      </c>
    </row>
    <row r="102" spans="3:12" ht="30">
      <c r="C102" s="5" t="s">
        <v>3</v>
      </c>
      <c r="D102" s="5" t="s">
        <v>4</v>
      </c>
      <c r="E102" s="5" t="s">
        <v>5</v>
      </c>
      <c r="F102" s="5" t="s">
        <v>6</v>
      </c>
      <c r="G102" s="3"/>
    </row>
    <row r="103" spans="3:12">
      <c r="C103" s="9">
        <v>53</v>
      </c>
      <c r="D103" s="9">
        <v>54</v>
      </c>
      <c r="E103" s="9">
        <v>1</v>
      </c>
      <c r="F103" s="9">
        <v>1</v>
      </c>
    </row>
    <row r="104" spans="3:12">
      <c r="C104" s="9">
        <v>54</v>
      </c>
      <c r="D104" s="9">
        <v>98</v>
      </c>
      <c r="E104" s="9">
        <f>98-54</f>
        <v>44</v>
      </c>
      <c r="F104" s="9">
        <v>44</v>
      </c>
    </row>
    <row r="105" spans="3:12">
      <c r="C105" s="9">
        <v>98</v>
      </c>
      <c r="D105" s="9">
        <v>122</v>
      </c>
      <c r="E105" s="9">
        <v>24</v>
      </c>
      <c r="F105" s="9">
        <v>24</v>
      </c>
    </row>
    <row r="106" spans="3:12">
      <c r="C106" s="9">
        <v>122</v>
      </c>
      <c r="D106" s="9">
        <v>124</v>
      </c>
      <c r="E106" s="9">
        <v>2</v>
      </c>
      <c r="F106" s="9">
        <v>2</v>
      </c>
    </row>
    <row r="107" spans="3:12">
      <c r="C107" s="9">
        <v>124</v>
      </c>
      <c r="D107" s="9">
        <v>183</v>
      </c>
      <c r="E107" s="9">
        <f>183-124</f>
        <v>59</v>
      </c>
      <c r="F107" s="9">
        <v>59</v>
      </c>
    </row>
    <row r="108" spans="3:12">
      <c r="C108" s="9">
        <v>183</v>
      </c>
      <c r="D108" s="9">
        <v>37</v>
      </c>
      <c r="E108" s="9">
        <f>183-37</f>
        <v>146</v>
      </c>
      <c r="F108" s="9">
        <v>146</v>
      </c>
    </row>
    <row r="109" spans="3:12">
      <c r="C109" s="9">
        <v>37</v>
      </c>
      <c r="D109" s="9">
        <v>15</v>
      </c>
      <c r="E109" s="9">
        <f>37-15</f>
        <v>22</v>
      </c>
      <c r="F109" s="9">
        <v>22</v>
      </c>
    </row>
    <row r="110" spans="3:12">
      <c r="C110" s="9">
        <v>15</v>
      </c>
      <c r="D110" s="9">
        <v>4</v>
      </c>
      <c r="E110" s="9">
        <v>11</v>
      </c>
      <c r="F110" s="9">
        <v>11</v>
      </c>
    </row>
    <row r="111" spans="3:12">
      <c r="C111" s="9"/>
      <c r="D111" s="9"/>
      <c r="E111" s="9"/>
      <c r="F111" s="9"/>
    </row>
    <row r="112" spans="3:12">
      <c r="C112" s="9"/>
      <c r="D112" s="9"/>
      <c r="E112" s="9"/>
      <c r="F112" s="9"/>
    </row>
    <row r="113" spans="3:12">
      <c r="C113" s="9"/>
      <c r="D113" s="9"/>
      <c r="E113" s="9" t="s">
        <v>15</v>
      </c>
      <c r="F113" s="9">
        <f>SUM(F103:F110)</f>
        <v>309</v>
      </c>
    </row>
    <row r="121" spans="3:12">
      <c r="C121" s="2" t="s">
        <v>12</v>
      </c>
    </row>
    <row r="123" spans="3:12">
      <c r="C123" s="1" t="s">
        <v>2</v>
      </c>
      <c r="D123" s="10">
        <v>98</v>
      </c>
      <c r="E123" s="10">
        <v>183</v>
      </c>
      <c r="F123" s="10">
        <v>37</v>
      </c>
      <c r="G123" s="10">
        <v>122</v>
      </c>
      <c r="H123" s="10">
        <v>15</v>
      </c>
      <c r="I123" s="10">
        <v>124</v>
      </c>
      <c r="J123" s="10">
        <v>54</v>
      </c>
      <c r="K123" s="10">
        <v>15</v>
      </c>
      <c r="L123" s="10">
        <v>4</v>
      </c>
    </row>
    <row r="124" spans="3:12">
      <c r="C124" s="1" t="s">
        <v>7</v>
      </c>
      <c r="D124" s="4">
        <v>53</v>
      </c>
      <c r="E124" t="s">
        <v>14</v>
      </c>
    </row>
    <row r="126" spans="3:12" ht="30">
      <c r="C126" s="5" t="s">
        <v>3</v>
      </c>
      <c r="D126" s="5" t="s">
        <v>4</v>
      </c>
      <c r="E126" s="5" t="s">
        <v>5</v>
      </c>
      <c r="F126" s="5" t="s">
        <v>6</v>
      </c>
      <c r="G126" s="3"/>
    </row>
    <row r="127" spans="3:12">
      <c r="C127" s="9">
        <v>53</v>
      </c>
      <c r="D127" s="9">
        <v>54</v>
      </c>
      <c r="E127" s="9">
        <v>1</v>
      </c>
      <c r="F127" s="9">
        <v>1</v>
      </c>
    </row>
    <row r="128" spans="3:12">
      <c r="C128" s="9">
        <v>54</v>
      </c>
      <c r="D128" s="9">
        <v>98</v>
      </c>
      <c r="E128" s="9">
        <f>98-54</f>
        <v>44</v>
      </c>
      <c r="F128" s="9">
        <v>44</v>
      </c>
    </row>
    <row r="129" spans="3:13">
      <c r="C129" s="9">
        <v>98</v>
      </c>
      <c r="D129" s="9">
        <v>122</v>
      </c>
      <c r="E129" s="9">
        <v>24</v>
      </c>
      <c r="F129" s="9">
        <v>24</v>
      </c>
    </row>
    <row r="130" spans="3:13">
      <c r="C130" s="9">
        <v>122</v>
      </c>
      <c r="D130" s="9">
        <v>124</v>
      </c>
      <c r="E130" s="9">
        <v>2</v>
      </c>
      <c r="F130" s="9">
        <v>2</v>
      </c>
    </row>
    <row r="131" spans="3:13">
      <c r="C131" s="9">
        <v>124</v>
      </c>
      <c r="D131" s="9">
        <v>183</v>
      </c>
      <c r="E131" s="9">
        <f>183-124</f>
        <v>59</v>
      </c>
      <c r="F131" s="9">
        <v>59</v>
      </c>
    </row>
    <row r="132" spans="3:13">
      <c r="C132" s="9">
        <v>183</v>
      </c>
      <c r="D132" s="9">
        <v>4</v>
      </c>
      <c r="E132" s="9">
        <f>183-4</f>
        <v>179</v>
      </c>
      <c r="F132" s="9">
        <v>179</v>
      </c>
    </row>
    <row r="133" spans="3:13">
      <c r="C133" s="9">
        <v>4</v>
      </c>
      <c r="D133" s="9">
        <v>15</v>
      </c>
      <c r="E133" s="9">
        <v>11</v>
      </c>
      <c r="F133" s="9">
        <v>11</v>
      </c>
    </row>
    <row r="134" spans="3:13">
      <c r="C134" s="9">
        <v>15</v>
      </c>
      <c r="D134" s="9">
        <v>37</v>
      </c>
      <c r="E134" s="9">
        <f>37-15</f>
        <v>22</v>
      </c>
      <c r="F134" s="9">
        <v>22</v>
      </c>
    </row>
    <row r="135" spans="3:13">
      <c r="C135" s="9"/>
      <c r="D135" s="9"/>
      <c r="E135" s="9"/>
      <c r="F135" s="9"/>
    </row>
    <row r="136" spans="3:13">
      <c r="C136" s="9"/>
      <c r="D136" s="9"/>
      <c r="E136" s="9"/>
      <c r="F136" s="9"/>
    </row>
    <row r="137" spans="3:13">
      <c r="C137" s="9"/>
      <c r="D137" s="9"/>
      <c r="E137" s="9" t="s">
        <v>15</v>
      </c>
      <c r="F137" s="9">
        <f>SUM(F127:F134)</f>
        <v>342</v>
      </c>
    </row>
    <row r="144" spans="3:13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3:13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3:13"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6"/>
    </row>
    <row r="147" spans="3:13"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</row>
    <row r="148" spans="3:13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3:13">
      <c r="C149" s="8"/>
      <c r="D149" s="8"/>
      <c r="E149" s="8"/>
      <c r="F149" s="8"/>
      <c r="G149" s="8"/>
      <c r="H149" s="6"/>
      <c r="I149" s="6"/>
      <c r="J149" s="6"/>
      <c r="K149" s="6"/>
      <c r="L149" s="6"/>
      <c r="M149" s="6"/>
    </row>
    <row r="150" spans="3:13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3:13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3:13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3:13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3:13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3:13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3:13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3:13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3:13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3:13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3:13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3:13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3:13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3:13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Arroyo</dc:creator>
  <cp:lastModifiedBy>#toshiba</cp:lastModifiedBy>
  <dcterms:created xsi:type="dcterms:W3CDTF">2020-05-21T12:37:36Z</dcterms:created>
  <dcterms:modified xsi:type="dcterms:W3CDTF">2021-05-31T21:12:53Z</dcterms:modified>
</cp:coreProperties>
</file>